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ider Comparison" sheetId="2" state="visible" r:id="rId4"/>
    <sheet name="Day of Week" sheetId="3" state="visible" r:id="rId5"/>
    <sheet name="Top St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<sst xmlns="http://schemas.openxmlformats.org/spreadsheetml/2006/main" count="103" uniqueCount="97">
  <si>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CYCLISTIC BIKE SHARE ANALYSIS</t>
  </si>
  <si>
    <t xml:space="preserve">Executive Summary  |  April 2024  |  Business Analyst Portfolio</t>
  </si>
  <si>
    <t xml:space="preserve">KEY METRICS</t>
  </si>
  <si>
    <t xml:space="preserve">Total Rides Analyzed</t>
  </si>
  <si>
    <t xml:space="preserve">414,320</t>
  </si>
  <si>
    <t xml:space="preserve">After removing 705 invalid records</t>
  </si>
  <si>
    <t xml:space="preserve">Annual Members</t>
  </si>
  <si>
    <t xml:space="preserve">68.3%</t>
  </si>
  <si>
    <t xml:space="preserve">Share of all April 2024 rides</t>
  </si>
  <si>
    <t xml:space="preserve">Casual Riders</t>
  </si>
  <si>
    <t xml:space="preserve">31.7%</t>
  </si>
  <si>
    <t xml:space="preserve">Significant conversion opportunity</t>
  </si>
  <si>
    <t xml:space="preserve">Avg Duration — Casual</t>
  </si>
  <si>
    <t xml:space="preserve">21.4 min</t>
  </si>
  <si>
    <t xml:space="preserve">vs 12 min for members (1.8× longer)</t>
  </si>
  <si>
    <t xml:space="preserve">KEY FINDINGS</t>
  </si>
  <si>
    <t xml:space="preserve">Finding 1</t>
  </si>
  <si>
    <t xml:space="preserve">Ride Duration Gap</t>
  </si>
  <si>
    <t xml:space="preserve">Casual riders avg 21 min vs member 12 min — leisure, not commute</t>
  </si>
  <si>
    <t xml:space="preserve">Finding 2</t>
  </si>
  <si>
    <t xml:space="preserve">Weekend Concentration</t>
  </si>
  <si>
    <t xml:space="preserve">43% of casual rides on Sat/Sun vs 25% for members</t>
  </si>
  <si>
    <t xml:space="preserve">Finding 3</t>
  </si>
  <si>
    <t xml:space="preserve">Time-of-Day Pattern</t>
  </si>
  <si>
    <t xml:space="preserve">Members: 8AM &amp; 5PM peaks. Casual: gradual 2–5PM ramp</t>
  </si>
  <si>
    <t xml:space="preserve">Finding 4</t>
  </si>
  <si>
    <t xml:space="preserve">Leisure Station Hotspots</t>
  </si>
  <si>
    <t xml:space="preserve">Streeter Dr &amp; DuSable Lake Shore Dr: 76–78% casual rate</t>
  </si>
  <si>
    <t xml:space="preserve">BUSINESS RECOMMENDATIONS</t>
  </si>
  <si>
    <t xml:space="preserve">REC 01</t>
  </si>
  <si>
    <t xml:space="preserve">Weekend Membership Campaign</t>
  </si>
  <si>
    <t xml:space="preserve">Discounted first-month offer to casual riders on Sat/Sun with 3+ rides/month</t>
  </si>
  <si>
    <t xml:space="preserve">REC 02</t>
  </si>
  <si>
    <t xml:space="preserve">Afternoon In-App Nudge</t>
  </si>
  <si>
    <t xml:space="preserve">1:30PM weekend push: personalised cost comparison (day pass vs membership)</t>
  </si>
  <si>
    <t xml:space="preserve">REC 03</t>
  </si>
  <si>
    <t xml:space="preserve">Long-Ride Loyalty Program</t>
  </si>
  <si>
    <t xml:space="preserve">After 5 rides &gt;20 min: trigger 20%-off membership upgrade offer</t>
  </si>
  <si>
    <t xml:space="preserve">REC 04</t>
  </si>
  <si>
    <t xml:space="preserve">Station-Level QR Marketing</t>
  </si>
  <si>
    <t xml:space="preserve">QR codes at Streeter Dr &amp; DuSable Lake Shore Dr docks</t>
  </si>
  <si>
    <t xml:space="preserve">MEMBER vs CASUAL — BEHAVIOUR COMPARISON</t>
  </si>
  <si>
    <t xml:space="preserve">Metric</t>
  </si>
  <si>
    <t xml:space="preserve">Annual Member</t>
  </si>
  <si>
    <t xml:space="preserve">Casual Rider</t>
  </si>
  <si>
    <t xml:space="preserve">Total Rides (Apr 2024)</t>
  </si>
  <si>
    <t xml:space="preserve">282,983</t>
  </si>
  <si>
    <t xml:space="preserve">131,337</t>
  </si>
  <si>
    <t xml:space="preserve">Share of All Rides</t>
  </si>
  <si>
    <t xml:space="preserve">Avg Ride Duration</t>
  </si>
  <si>
    <t xml:space="preserve">11.8 min</t>
  </si>
  <si>
    <t xml:space="preserve">Median Ride Duration</t>
  </si>
  <si>
    <t xml:space="preserve">8.3 min</t>
  </si>
  <si>
    <t xml:space="preserve">11.9 min</t>
  </si>
  <si>
    <t xml:space="preserve">Classic Bike Avg Duration</t>
  </si>
  <si>
    <t xml:space="preserve">14.7 min</t>
  </si>
  <si>
    <t xml:space="preserve">40.9 min</t>
  </si>
  <si>
    <t xml:space="preserve">Electric Bike Avg Duration</t>
  </si>
  <si>
    <t xml:space="preserve">10.4 min</t>
  </si>
  <si>
    <t xml:space="preserve">14.4 min</t>
  </si>
  <si>
    <t xml:space="preserve">Weekend Ride Share</t>
  </si>
  <si>
    <t xml:space="preserve">24.5%</t>
  </si>
  <si>
    <t xml:space="preserve">42.7%</t>
  </si>
  <si>
    <t xml:space="preserve">Peak Hour</t>
  </si>
  <si>
    <t xml:space="preserve">8AM &amp; 5PM</t>
  </si>
  <si>
    <t xml:space="preserve">2–5PM</t>
  </si>
  <si>
    <t xml:space="preserve">Usage Pattern</t>
  </si>
  <si>
    <t xml:space="preserve">Commute</t>
  </si>
  <si>
    <t xml:space="preserve">Leisure / Recreation</t>
  </si>
  <si>
    <t xml:space="preserve">Top Station Type</t>
  </si>
  <si>
    <t xml:space="preserve">Office/Residential</t>
  </si>
  <si>
    <t xml:space="preserve">Tourist/Lakefront</t>
  </si>
  <si>
    <t xml:space="preserve">RIDES BY DAY OF WEEK</t>
  </si>
  <si>
    <t xml:space="preserve">Day</t>
  </si>
  <si>
    <t xml:space="preserve">Member Rides</t>
  </si>
  <si>
    <t xml:space="preserve">Casual Rides</t>
  </si>
  <si>
    <t xml:space="preserve">Casual %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</si>
  <si>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</si>
  <si>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</si>
  <si>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</si>
  <si>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</si>
  <si>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</si>
  <si>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</si>
  <si>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</si>
  <si>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TOTAL</t>
  </si>
  <si>
    <t xml:space="preserve">TOP 10 START STATIONS BY CASUAL VOLUME</t>
  </si>
  <si>
    <t xml:space="preserve">Station Name</t>
  </si>
  <si>
    <t xml:space="preserve">Streeter Dr &amp; Grand Ave</t>
  </si>
  <si>
    <t xml:space="preserve">DuSable Lake Shore Dr &amp; Monroe St</t>
  </si>
  <si>
    <t xml:space="preserve">University Ave &amp; 57th St</t>
  </si>
  <si>
    <t xml:space="preserve">Clinton St &amp; Washington Blvd</t>
  </si>
  <si>
    <t xml:space="preserve">Kingsbury St &amp; Kinzie St</t>
  </si>
  <si>
    <t xml:space="preserve">Ellis Ave &amp; 60th St</t>
  </si>
  <si>
    <t xml:space="preserve">Clark St &amp; Elm St</t>
  </si>
  <si>
    <t xml:space="preserve">Michigan Ave &amp; Oak St</t>
  </si>
  <si>
    <t xml:space="preserve">Clinton St &amp; Madison St</t>
  </si>
  <si>
    <t xml:space="preserve">Wells St &amp; Concord Ln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</si>
</sst>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2"/>
      <color rgb="FF1E56A0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2"/>
      <color rgb="FF0891B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20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E56A0"/>
      <name val="Arial"/>
      <family val="0"/>
      <charset val="1"/>
    </font>
    <font>
      <sz val="10"/>
      <color rgb="FFF59E0B"/>
      <name val="Arial"/>
      <family val="0"/>
      <charset val="1"/>
    </font>
    <font>
      <sz val="10"/>
      <color rgb="FF1E293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1E56A0"/>
      <name val="Arial"/>
      <family val="0"/>
      <charset val="1"/>
    </font>
    <font>
      <b val="true"/>
      <sz val="10"/>
      <color rgb="FFF59E0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044"/>
        <bgColor rgb="FF1E293B"/>
      </patternFill>
    </fill>
    <fill>
      <patternFill patternType="solid">
        <fgColor rgb="FF1E56A0"/>
        <bgColor rgb="FF333399"/>
      </patternFill>
    </fill>
    <fill>
      <patternFill patternType="solid">
        <fgColor rgb="FF0891B2"/>
        <bgColor rgb="FF008080"/>
      </patternFill>
    </fill>
    <fill>
      <patternFill patternType="solid">
        <fgColor rgb="FFE8F0FE"/>
        <bgColor rgb="FFF0F4F8"/>
      </patternFill>
    </fill>
    <fill>
      <patternFill patternType="solid">
        <fgColor rgb="FFFEF3C7"/>
        <bgColor rgb="FFFFFF99"/>
      </patternFill>
    </fill>
    <fill>
      <patternFill patternType="solid">
        <fgColor rgb="FFCCFBF1"/>
        <bgColor rgb="FFE8F0FE"/>
      </patternFill>
    </fill>
    <fill>
      <patternFill patternType="solid">
        <fgColor rgb="FFF0F4F8"/>
        <bgColor rgb="FFE8F0FE"/>
      </patternFill>
    </fill>
    <fill>
      <patternFill patternType="solid">
        <fgColor rgb="FFFFFFFF"/>
        <bgColor rgb="FFF0F4F8"/>
      </patternFill>
    </fill>
    <fill>
      <patternFill patternType="solid">
        <fgColor rgb="FFF59E0B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1E56A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0F4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F2044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8"/>
    <col collapsed="false" customWidth="true" hidden="false" outlineLevel="0" max="7" min="7" style="0" width="5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5" customFormat="false" ht="18" hidden="false" customHeight="true" outlineLevel="0" collapsed="false">
      <c r="B5" s="3" t="s">
        <v>2</v>
      </c>
      <c r="C5" s="3"/>
      <c r="D5" s="3"/>
      <c r="E5" s="3"/>
      <c r="F5" s="3"/>
    </row>
    <row r="6" customFormat="false" ht="27.75" hidden="false" customHeight="true" outlineLevel="0" collapsed="false">
      <c r="B6" s="4" t="s">
        <v>3</v>
      </c>
      <c r="C6" s="4"/>
      <c r="D6" s="5" t="s">
        <v>4</v>
      </c>
      <c r="E6" s="6" t="s">
        <v>5</v>
      </c>
      <c r="F6" s="6"/>
    </row>
    <row r="7" customFormat="false" ht="27.75" hidden="false" customHeight="true" outlineLevel="0" collapsed="false">
      <c r="B7" s="4" t="s">
        <v>6</v>
      </c>
      <c r="C7" s="4"/>
      <c r="D7" s="5" t="s">
        <v>7</v>
      </c>
      <c r="E7" s="6" t="s">
        <v>8</v>
      </c>
      <c r="F7" s="6"/>
    </row>
    <row r="8" customFormat="false" ht="27.75" hidden="false" customHeight="true" outlineLevel="0" collapsed="false">
      <c r="B8" s="7" t="s">
        <v>9</v>
      </c>
      <c r="C8" s="7"/>
      <c r="D8" s="8" t="s">
        <v>10</v>
      </c>
      <c r="E8" s="9" t="s">
        <v>11</v>
      </c>
      <c r="F8" s="9"/>
    </row>
    <row r="9" customFormat="false" ht="27.75" hidden="false" customHeight="true" outlineLevel="0" collapsed="false">
      <c r="B9" s="10" t="s">
        <v>12</v>
      </c>
      <c r="C9" s="10"/>
      <c r="D9" s="11" t="s">
        <v>13</v>
      </c>
      <c r="E9" s="12" t="s">
        <v>14</v>
      </c>
      <c r="F9" s="12"/>
    </row>
    <row r="11" customFormat="false" ht="18" hidden="false" customHeight="true" outlineLevel="0" collapsed="false">
      <c r="B11" s="13" t="s">
        <v>15</v>
      </c>
      <c r="C11" s="13"/>
      <c r="D11" s="13"/>
      <c r="E11" s="13"/>
      <c r="F11" s="13"/>
    </row>
    <row r="12" customFormat="false" ht="24" hidden="false" customHeight="true" outlineLevel="0" collapsed="false">
      <c r="B12" s="14" t="s">
        <v>16</v>
      </c>
      <c r="C12" s="15" t="s">
        <v>17</v>
      </c>
      <c r="D12" s="16" t="s">
        <v>18</v>
      </c>
      <c r="E12" s="16"/>
      <c r="F12" s="16"/>
    </row>
    <row r="13" customFormat="false" ht="24" hidden="false" customHeight="true" outlineLevel="0" collapsed="false">
      <c r="B13" s="14" t="s">
        <v>19</v>
      </c>
      <c r="C13" s="17" t="s">
        <v>20</v>
      </c>
      <c r="D13" s="18" t="s">
        <v>21</v>
      </c>
      <c r="E13" s="18"/>
      <c r="F13" s="18"/>
    </row>
    <row r="14" customFormat="false" ht="24" hidden="false" customHeight="true" outlineLevel="0" collapsed="false">
      <c r="B14" s="14" t="s">
        <v>22</v>
      </c>
      <c r="C14" s="15" t="s">
        <v>23</v>
      </c>
      <c r="D14" s="16" t="s">
        <v>24</v>
      </c>
      <c r="E14" s="16"/>
      <c r="F14" s="16"/>
    </row>
    <row r="15" customFormat="false" ht="24" hidden="false" customHeight="true" outlineLevel="0" collapsed="false">
      <c r="B15" s="14" t="s">
        <v>25</v>
      </c>
      <c r="C15" s="17" t="s">
        <v>26</v>
      </c>
      <c r="D15" s="18" t="s">
        <v>27</v>
      </c>
      <c r="E15" s="18"/>
      <c r="F15" s="18"/>
    </row>
    <row r="17" customFormat="false" ht="18" hidden="false" customHeight="true" outlineLevel="0" collapsed="false">
      <c r="B17" s="19" t="s">
        <v>28</v>
      </c>
      <c r="C17" s="19"/>
      <c r="D17" s="19"/>
      <c r="E17" s="19"/>
      <c r="F17" s="19"/>
    </row>
    <row r="18" customFormat="false" ht="24" hidden="false" customHeight="true" outlineLevel="0" collapsed="false">
      <c r="B18" s="20" t="s">
        <v>29</v>
      </c>
      <c r="C18" s="15" t="s">
        <v>30</v>
      </c>
      <c r="D18" s="16" t="s">
        <v>31</v>
      </c>
      <c r="E18" s="16"/>
      <c r="F18" s="16"/>
    </row>
    <row r="19" customFormat="false" ht="24" hidden="false" customHeight="true" outlineLevel="0" collapsed="false">
      <c r="B19" s="20" t="s">
        <v>32</v>
      </c>
      <c r="C19" s="17" t="s">
        <v>33</v>
      </c>
      <c r="D19" s="18" t="s">
        <v>34</v>
      </c>
      <c r="E19" s="18"/>
      <c r="F19" s="18"/>
    </row>
    <row r="20" customFormat="false" ht="24" hidden="false" customHeight="true" outlineLevel="0" collapsed="false">
      <c r="B20" s="20" t="s">
        <v>35</v>
      </c>
      <c r="C20" s="15" t="s">
        <v>36</v>
      </c>
      <c r="D20" s="16" t="s">
        <v>37</v>
      </c>
      <c r="E20" s="16"/>
      <c r="F20" s="16"/>
    </row>
    <row r="21" customFormat="false" ht="24" hidden="false" customHeight="true" outlineLevel="0" collapsed="false">
      <c r="B21" s="20" t="s">
        <v>38</v>
      </c>
      <c r="C21" s="17" t="s">
        <v>39</v>
      </c>
      <c r="D21" s="18" t="s">
        <v>40</v>
      </c>
      <c r="E21" s="18"/>
      <c r="F21" s="18"/>
    </row>
  </sheetData>
  <mergeCells count="21">
    <mergeCell ref="B2:F2"/>
    <mergeCell ref="B3:F3"/>
    <mergeCell ref="B5:F5"/>
    <mergeCell ref="B6:C6"/>
    <mergeCell ref="E6:F6"/>
    <mergeCell ref="B7:C7"/>
    <mergeCell ref="E7:F7"/>
    <mergeCell ref="B8:C8"/>
    <mergeCell ref="E8:F8"/>
    <mergeCell ref="B9:C9"/>
    <mergeCell ref="E9:F9"/>
    <mergeCell ref="B11:F11"/>
    <mergeCell ref="D12:F12"/>
    <mergeCell ref="D13:F13"/>
    <mergeCell ref="D14:F14"/>
    <mergeCell ref="D15:F15"/>
    <mergeCell ref="B17:F17"/>
    <mergeCell ref="D18:F18"/>
    <mergeCell ref="D19:F19"/>
    <mergeCell ref="D20:F20"/>
    <mergeCell ref="D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20"/>
    <col collapsed="false" customWidth="true" hidden="false" outlineLevel="0" max="5" min="5" style="0" width="5"/>
  </cols>
  <sheetData>
    <row r="1" customFormat="false" ht="27.75" hidden="false" customHeight="true" outlineLevel="0" collapsed="false">
      <c r="B1" s="21" t="s">
        <v>41</v>
      </c>
      <c r="C1" s="21"/>
      <c r="D1" s="21"/>
    </row>
    <row r="2" customFormat="false" ht="21.75" hidden="false" customHeight="true" outlineLevel="0" collapsed="false">
      <c r="B2" s="22" t="s">
        <v>42</v>
      </c>
      <c r="C2" s="22" t="s">
        <v>43</v>
      </c>
      <c r="D2" s="22" t="s">
        <v>44</v>
      </c>
    </row>
    <row r="3" customFormat="false" ht="21.75" hidden="false" customHeight="true" outlineLevel="0" collapsed="false">
      <c r="B3" s="15" t="s">
        <v>45</v>
      </c>
      <c r="C3" s="23" t="s">
        <v>46</v>
      </c>
      <c r="D3" s="24" t="s">
        <v>47</v>
      </c>
    </row>
    <row r="4" customFormat="false" ht="21.75" hidden="false" customHeight="true" outlineLevel="0" collapsed="false">
      <c r="B4" s="17" t="s">
        <v>48</v>
      </c>
      <c r="C4" s="25" t="s">
        <v>7</v>
      </c>
      <c r="D4" s="26" t="s">
        <v>10</v>
      </c>
    </row>
    <row r="5" customFormat="false" ht="21.75" hidden="false" customHeight="true" outlineLevel="0" collapsed="false">
      <c r="B5" s="15" t="s">
        <v>49</v>
      </c>
      <c r="C5" s="23" t="s">
        <v>50</v>
      </c>
      <c r="D5" s="24" t="s">
        <v>13</v>
      </c>
    </row>
    <row r="6" customFormat="false" ht="21.75" hidden="false" customHeight="true" outlineLevel="0" collapsed="false">
      <c r="B6" s="17" t="s">
        <v>51</v>
      </c>
      <c r="C6" s="25" t="s">
        <v>52</v>
      </c>
      <c r="D6" s="26" t="s">
        <v>53</v>
      </c>
    </row>
    <row r="7" customFormat="false" ht="21.75" hidden="false" customHeight="true" outlineLevel="0" collapsed="false">
      <c r="B7" s="15" t="s">
        <v>54</v>
      </c>
      <c r="C7" s="23" t="s">
        <v>55</v>
      </c>
      <c r="D7" s="24" t="s">
        <v>56</v>
      </c>
    </row>
    <row r="8" customFormat="false" ht="21.75" hidden="false" customHeight="true" outlineLevel="0" collapsed="false">
      <c r="B8" s="17" t="s">
        <v>57</v>
      </c>
      <c r="C8" s="25" t="s">
        <v>58</v>
      </c>
      <c r="D8" s="26" t="s">
        <v>59</v>
      </c>
    </row>
    <row r="9" customFormat="false" ht="21.75" hidden="false" customHeight="true" outlineLevel="0" collapsed="false">
      <c r="B9" s="15" t="s">
        <v>60</v>
      </c>
      <c r="C9" s="23" t="s">
        <v>61</v>
      </c>
      <c r="D9" s="24" t="s">
        <v>62</v>
      </c>
    </row>
    <row r="10" customFormat="false" ht="21.75" hidden="false" customHeight="true" outlineLevel="0" collapsed="false">
      <c r="B10" s="17" t="s">
        <v>63</v>
      </c>
      <c r="C10" s="25" t="s">
        <v>64</v>
      </c>
      <c r="D10" s="26" t="s">
        <v>65</v>
      </c>
    </row>
    <row r="11" customFormat="false" ht="21.75" hidden="false" customHeight="true" outlineLevel="0" collapsed="false">
      <c r="B11" s="15" t="s">
        <v>66</v>
      </c>
      <c r="C11" s="23" t="s">
        <v>67</v>
      </c>
      <c r="D11" s="24" t="s">
        <v>68</v>
      </c>
    </row>
    <row r="12" customFormat="false" ht="21.75" hidden="false" customHeight="true" outlineLevel="0" collapsed="false">
      <c r="B12" s="17" t="s">
        <v>69</v>
      </c>
      <c r="C12" s="25" t="s">
        <v>70</v>
      </c>
      <c r="D12" s="26" t="s">
        <v>71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</cols>
  <sheetData>
    <row r="1" customFormat="false" ht="27.75" hidden="false" customHeight="true" outlineLevel="0" collapsed="false">
      <c r="B1" s="21" t="s">
        <v>72</v>
      </c>
      <c r="C1" s="21"/>
      <c r="D1" s="21"/>
      <c r="E1" s="21"/>
    </row>
    <row r="2" customFormat="false" ht="21.75" hidden="false" customHeight="true" outlineLevel="0" collapsed="false">
      <c r="B2" s="22" t="s">
        <v>73</v>
      </c>
      <c r="C2" s="22" t="s">
        <v>74</v>
      </c>
      <c r="D2" s="22" t="s">
        <v>75</v>
      </c>
      <c r="E2" s="22" t="s">
        <v>76</v>
      </c>
    </row>
    <row r="3" customFormat="false" ht="21.75" hidden="false" customHeight="true" outlineLevel="0" collapsed="false">
      <c r="B3" s="27" t="s">
        <v>77</v>
      </c>
      <c r="C3" s="28" t="n">
        <v>49937</v>
      </c>
      <c r="D3" s="28" t="n">
        <v>19932</v>
      </c>
      <c r="E3" s="29" t="n">
        <f aca="false">D3/(C3+D3)</f>
        <v>0.285276732170204</v>
      </c>
    </row>
    <row r="4" customFormat="false" ht="21.75" hidden="false" customHeight="true" outlineLevel="0" collapsed="false">
      <c r="B4" s="30" t="s">
        <v>78</v>
      </c>
      <c r="C4" s="31" t="n">
        <v>55222</v>
      </c>
      <c r="D4" s="31" t="n">
        <v>19146</v>
      </c>
      <c r="E4" s="32" t="n">
        <f aca="false">D4/(C4+D4)</f>
        <v>0.257449440619621</v>
      </c>
    </row>
    <row r="5" customFormat="false" ht="21.75" hidden="false" customHeight="true" outlineLevel="0" collapsed="false">
      <c r="B5" s="27" t="s">
        <v>79</v>
      </c>
      <c r="C5" s="28" t="n">
        <v>36996</v>
      </c>
      <c r="D5" s="28" t="n">
        <v>11235</v>
      </c>
      <c r="E5" s="29" t="n">
        <f aca="false">D5/(C5+D5)</f>
        <v>0.232941469179573</v>
      </c>
    </row>
    <row r="6" customFormat="false" ht="21.75" hidden="false" customHeight="true" outlineLevel="0" collapsed="false">
      <c r="B6" s="30" t="s">
        <v>80</v>
      </c>
      <c r="C6" s="31" t="n">
        <v>37193</v>
      </c>
      <c r="D6" s="31" t="n">
        <v>11010</v>
      </c>
      <c r="E6" s="32" t="n">
        <f aca="false">D6/(C6+D6)</f>
        <v>0.228409020185466</v>
      </c>
    </row>
    <row r="7" customFormat="false" ht="21.75" hidden="false" customHeight="true" outlineLevel="0" collapsed="false">
      <c r="B7" s="27" t="s">
        <v>81</v>
      </c>
      <c r="C7" s="28" t="n">
        <v>34541</v>
      </c>
      <c r="D7" s="28" t="n">
        <v>14246</v>
      </c>
      <c r="E7" s="29" t="n">
        <f aca="false">D7/(C7+D7)</f>
        <v>0.292004017463669</v>
      </c>
    </row>
    <row r="8" customFormat="false" ht="21.75" hidden="false" customHeight="true" outlineLevel="0" collapsed="false">
      <c r="B8" s="33" t="s">
        <v>82</v>
      </c>
      <c r="C8" s="31" t="n">
        <v>38013</v>
      </c>
      <c r="D8" s="31" t="n">
        <v>30923</v>
      </c>
      <c r="E8" s="34" t="n">
        <f aca="false">D8/(C8+D8)</f>
        <v>0.448575490309853</v>
      </c>
    </row>
    <row r="9" customFormat="false" ht="21.75" hidden="false" customHeight="true" outlineLevel="0" collapsed="false">
      <c r="B9" s="35" t="s">
        <v>83</v>
      </c>
      <c r="C9" s="28" t="n">
        <v>31313</v>
      </c>
      <c r="D9" s="28" t="n">
        <v>25318</v>
      </c>
      <c r="E9" s="36" t="n">
        <f aca="false">D9/(C9+D9)</f>
        <v>0.447069626176476</v>
      </c>
    </row>
    <row r="10" customFormat="false" ht="24" hidden="false" customHeight="true" outlineLevel="0" collapsed="false">
      <c r="B10" s="37" t="s">
        <v>84</v>
      </c>
      <c r="C10" s="38" t="n">
        <f aca="false">SUM(C3:C9)</f>
        <v>283215</v>
      </c>
      <c r="D10" s="38" t="n">
        <f aca="false">SUM(D3:D9)</f>
        <v>131810</v>
      </c>
      <c r="E10" s="39" t="n">
        <f aca="false">D10/(C10+D10)</f>
        <v>0.317595325582796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5"/>
  </cols>
  <sheetData>
    <row r="1" customFormat="false" ht="27.75" hidden="false" customHeight="true" outlineLevel="0" collapsed="false">
      <c r="B1" s="21" t="s">
        <v>85</v>
      </c>
      <c r="C1" s="21"/>
      <c r="D1" s="21"/>
      <c r="E1" s="21"/>
    </row>
    <row r="2" customFormat="false" ht="21.75" hidden="false" customHeight="true" outlineLevel="0" collapsed="false">
      <c r="B2" s="22" t="s">
        <v>86</v>
      </c>
      <c r="C2" s="22" t="s">
        <v>75</v>
      </c>
      <c r="D2" s="22" t="s">
        <v>74</v>
      </c>
      <c r="E2" s="22" t="s">
        <v>76</v>
      </c>
    </row>
    <row r="3" customFormat="false" ht="21.75" hidden="false" customHeight="true" outlineLevel="0" collapsed="false">
      <c r="B3" s="15" t="s">
        <v>87</v>
      </c>
      <c r="C3" s="40" t="n">
        <v>3319</v>
      </c>
      <c r="D3" s="28" t="n">
        <v>1030</v>
      </c>
      <c r="E3" s="41" t="n">
        <f aca="false">C3/(C3+D3)</f>
        <v>0.763163945734652</v>
      </c>
    </row>
    <row r="4" customFormat="false" ht="21.75" hidden="false" customHeight="true" outlineLevel="0" collapsed="false">
      <c r="B4" s="17" t="s">
        <v>88</v>
      </c>
      <c r="C4" s="42" t="n">
        <v>2482</v>
      </c>
      <c r="D4" s="31" t="n">
        <v>695</v>
      </c>
      <c r="E4" s="43" t="n">
        <f aca="false">C4/(C4+D4)</f>
        <v>0.781240163676424</v>
      </c>
    </row>
    <row r="5" customFormat="false" ht="21.75" hidden="false" customHeight="true" outlineLevel="0" collapsed="false">
      <c r="B5" s="27" t="s">
        <v>89</v>
      </c>
      <c r="C5" s="28" t="n">
        <v>642</v>
      </c>
      <c r="D5" s="28" t="n">
        <v>2189</v>
      </c>
      <c r="E5" s="44" t="n">
        <f aca="false">C5/(C5+D5)</f>
        <v>0.226774991169198</v>
      </c>
    </row>
    <row r="6" customFormat="false" ht="21.75" hidden="false" customHeight="true" outlineLevel="0" collapsed="false">
      <c r="B6" s="30" t="s">
        <v>90</v>
      </c>
      <c r="C6" s="31" t="n">
        <v>450</v>
      </c>
      <c r="D6" s="31" t="n">
        <v>2340</v>
      </c>
      <c r="E6" s="45" t="n">
        <f aca="false">C6/(C6+D6)</f>
        <v>0.161290322580645</v>
      </c>
    </row>
    <row r="7" customFormat="false" ht="21.75" hidden="false" customHeight="true" outlineLevel="0" collapsed="false">
      <c r="B7" s="27" t="s">
        <v>91</v>
      </c>
      <c r="C7" s="28" t="n">
        <v>582</v>
      </c>
      <c r="D7" s="28" t="n">
        <v>2039</v>
      </c>
      <c r="E7" s="44" t="n">
        <f aca="false">C7/(C7+D7)</f>
        <v>0.222052651659672</v>
      </c>
    </row>
    <row r="8" customFormat="false" ht="21.75" hidden="false" customHeight="true" outlineLevel="0" collapsed="false">
      <c r="B8" s="30" t="s">
        <v>92</v>
      </c>
      <c r="C8" s="31" t="n">
        <v>564</v>
      </c>
      <c r="D8" s="31" t="n">
        <v>1870</v>
      </c>
      <c r="E8" s="45" t="n">
        <f aca="false">C8/(C8+D8)</f>
        <v>0.231717337715694</v>
      </c>
    </row>
    <row r="9" customFormat="false" ht="21.75" hidden="false" customHeight="true" outlineLevel="0" collapsed="false">
      <c r="B9" s="27" t="s">
        <v>93</v>
      </c>
      <c r="C9" s="28" t="n">
        <v>586</v>
      </c>
      <c r="D9" s="28" t="n">
        <v>1806</v>
      </c>
      <c r="E9" s="44" t="n">
        <f aca="false">C9/(C9+D9)</f>
        <v>0.244983277591973</v>
      </c>
    </row>
    <row r="10" customFormat="false" ht="21.75" hidden="false" customHeight="true" outlineLevel="0" collapsed="false">
      <c r="B10" s="30" t="s">
        <v>94</v>
      </c>
      <c r="C10" s="31" t="n">
        <v>1319</v>
      </c>
      <c r="D10" s="31" t="n">
        <v>1051</v>
      </c>
      <c r="E10" s="45" t="n">
        <f aca="false">C10/(C10+D10)</f>
        <v>0.556540084388186</v>
      </c>
    </row>
    <row r="11" customFormat="false" ht="21.75" hidden="false" customHeight="true" outlineLevel="0" collapsed="false">
      <c r="B11" s="27" t="s">
        <v>95</v>
      </c>
      <c r="C11" s="28" t="n">
        <v>413</v>
      </c>
      <c r="D11" s="28" t="n">
        <v>1940</v>
      </c>
      <c r="E11" s="44" t="n">
        <f aca="false">C11/(C11+D11)</f>
        <v>0.1755206119847</v>
      </c>
    </row>
    <row r="12" customFormat="false" ht="21.75" hidden="false" customHeight="true" outlineLevel="0" collapsed="false">
      <c r="B12" s="30" t="s">
        <v>96</v>
      </c>
      <c r="C12" s="31" t="n">
        <v>645</v>
      </c>
      <c r="D12" s="31" t="n">
        <v>1537</v>
      </c>
      <c r="E12" s="45" t="n">
        <f aca="false">C12/(C12+D12)</f>
        <v>0.295600366636114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2026-04-23T04:16:50Z</dcterms:created>
  <dc:creator>openpyxl</dc:creator>
  <dc:description/>
  <dc:language>en-US</dc:language>
  <cp:lastModifiedBy/>
  <dcterms:modified xsi:type="dcterms:W3CDTF">2026-04-23T04:16:50Z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